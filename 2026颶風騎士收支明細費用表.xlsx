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隊費及儲值金收費紀錄" sheetId="1" r:id="rId5"/>
    <sheet state="visible" name="比賽逐場費用明細" sheetId="2" r:id="rId6"/>
    <sheet state="visible" name="隊費明細" sheetId="3" r:id="rId7"/>
  </sheets>
  <definedNames/>
  <calcPr/>
</workbook>
</file>

<file path=xl/sharedStrings.xml><?xml version="1.0" encoding="utf-8"?>
<sst xmlns="http://schemas.openxmlformats.org/spreadsheetml/2006/main" count="135" uniqueCount="60">
  <si>
    <t>球員姓名</t>
  </si>
  <si>
    <t>日期 / 項目</t>
  </si>
  <si>
    <t>隊費</t>
  </si>
  <si>
    <t>收入/支出金額</t>
  </si>
  <si>
    <t>比賽儲值金</t>
  </si>
  <si>
    <t>總支出</t>
  </si>
  <si>
    <t>狀態</t>
  </si>
  <si>
    <t>20260222 八里一日賽</t>
  </si>
  <si>
    <t>蔡允信</t>
  </si>
  <si>
    <t>儲值金餘額</t>
  </si>
  <si>
    <t>比賽日3/8 （八里熱身賽）
(總費用: 1900)</t>
  </si>
  <si>
    <t>已繳納</t>
  </si>
  <si>
    <t>比賽日3/29 (瓊林熱身賽)
(總費用: 1920 )</t>
  </si>
  <si>
    <t xml:space="preserve">比賽日4/26 (VS TNT)
(總費用: 2943) 
 </t>
  </si>
  <si>
    <t>比賽日5/3 (VS 卡吐司)
(總費用:  
 2859)</t>
  </si>
  <si>
    <t>比賽日5/24 (VS 宙斯Z )
(總費用:  
 2943)</t>
  </si>
  <si>
    <t>比賽日6/7 (VS 夢想家 )
(總費用:  
 2943)</t>
  </si>
  <si>
    <t>陳麟昇</t>
  </si>
  <si>
    <t>比賽日7/19 (VS 紅閃電)
(總費用:  
 3050）</t>
  </si>
  <si>
    <t>Column 12比賽日8/2 (VS 戰神)
(總費用:  
 2946）</t>
  </si>
  <si>
    <t>比賽日8/30 (VS 戰神)
(總費用:  
 2950）</t>
  </si>
  <si>
    <t>比賽儲值金
加值紀錄
(金額)</t>
  </si>
  <si>
    <t>徐嘉宏</t>
  </si>
  <si>
    <t>莊子毅</t>
  </si>
  <si>
    <t>劉信宏</t>
  </si>
  <si>
    <t>藍凱翔</t>
  </si>
  <si>
    <t>顏嘉宏</t>
  </si>
  <si>
    <t>林雍傑</t>
  </si>
  <si>
    <t>黃浩勝</t>
  </si>
  <si>
    <t>蕭喬駿</t>
  </si>
  <si>
    <t>佘文甫</t>
  </si>
  <si>
    <t>劉毓銘</t>
  </si>
  <si>
    <t>周澤緯</t>
  </si>
  <si>
    <t>李富生</t>
  </si>
  <si>
    <t>莊晨鴻</t>
  </si>
  <si>
    <t>鄭安鈞</t>
  </si>
  <si>
    <t>吳英信</t>
  </si>
  <si>
    <t>黃彥智</t>
  </si>
  <si>
    <t>陳乙嘉</t>
  </si>
  <si>
    <t>20260301 聯盟M BALL費用</t>
  </si>
  <si>
    <t>林奕傑</t>
  </si>
  <si>
    <t>20260307 週六聯盟M BALL費用</t>
  </si>
  <si>
    <t>20260608 聯盟M BALL費用</t>
  </si>
  <si>
    <t>陳德光</t>
  </si>
  <si>
    <t>楊承翰</t>
  </si>
  <si>
    <t>林書楷</t>
  </si>
  <si>
    <t>林傳偉</t>
  </si>
  <si>
    <t>陳國嵐</t>
  </si>
  <si>
    <t>林政豪</t>
  </si>
  <si>
    <t>陳禹至</t>
  </si>
  <si>
    <t>張軒齊</t>
  </si>
  <si>
    <t>陳渝恩</t>
  </si>
  <si>
    <t>古佳叡</t>
  </si>
  <si>
    <t>古佳翰</t>
  </si>
  <si>
    <t>梁信勝</t>
  </si>
  <si>
    <t>羅俊昇</t>
  </si>
  <si>
    <t>胡哲瑋</t>
  </si>
  <si>
    <t>陳昱昕</t>
  </si>
  <si>
    <t>廖述博</t>
  </si>
  <si>
    <t>黃梅奇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</si>
</sst>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FFFFFF"/>
      <name val="Arial"/>
    </font>
    <font>
      <color rgb="FF434343"/>
      <name val="Arial"/>
    </font>
  </fonts>
  <fills count="8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</fills>
  <borders count="9">
    <border/>
    <border>
      <left style="thin">
        <color rgb="FF674EA7"/>
      </left>
      <top style="thin">
        <color rgb="FF292F50"/>
      </top>
      <bottom style="thin">
        <color rgb="FF292F5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92F50"/>
      </right>
      <top style="thin">
        <color rgb="FF000000"/>
      </top>
      <bottom style="thin">
        <color rgb="FFFFFFFF"/>
      </bottom>
    </border>
    <border>
      <left style="thin">
        <color rgb="FFF6F8F9"/>
      </lef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92F50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92F50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292F50"/>
      </bottom>
    </border>
    <border>
      <left style="thin">
        <color rgb="FFF6F8F9"/>
      </left>
      <right style="thin">
        <color rgb="FF292F50"/>
      </right>
      <top style="thin">
        <color rgb="FFF6F8F9"/>
      </top>
      <bottom style="thin">
        <color rgb="FF292F5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1" fillId="2" fontId="3" numFmtId="0" xfId="0" applyAlignment="1" applyBorder="1" applyFill="1" applyFont="1">
      <alignment horizontal="left" readingOrder="0" shrinkToFit="0" vertical="center" wrapText="1"/>
    </xf>
    <xf borderId="0" fillId="2" fontId="3" numFmtId="0" xfId="0" applyAlignment="1" applyFill="1" applyFont="1">
      <alignment horizontal="left" readingOrder="0" shrinkToFit="0" vertical="center" wrapText="1"/>
    </xf>
    <xf borderId="0" fillId="3" fontId="3" numFmtId="49" xfId="0" applyAlignment="1" applyFill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2" fillId="4" fontId="2" numFmtId="0" xfId="0" applyAlignment="1" applyBorder="1" applyFill="1" applyFont="1">
      <alignment shrinkToFit="0" vertical="center" wrapText="0"/>
    </xf>
    <xf borderId="0" fillId="4" fontId="2" numFmtId="0" xfId="0" applyAlignment="1" applyFill="1" applyFont="1">
      <alignment shrinkToFit="0" vertical="center" wrapText="0"/>
    </xf>
    <xf borderId="3" fillId="4" fontId="2" numFmtId="0" xfId="0" applyAlignment="1" applyBorder="1" applyFill="1" applyFont="1">
      <alignment shrinkToFit="0" vertical="center" wrapText="0"/>
    </xf>
    <xf borderId="4" fillId="5" fontId="2" numFmtId="0" xfId="0" applyAlignment="1" applyBorder="1" applyFill="1" applyFont="1">
      <alignment shrinkToFit="0" vertical="center" wrapText="0"/>
    </xf>
    <xf borderId="0" fillId="5" fontId="2" numFmtId="0" xfId="0" applyAlignment="1" applyFill="1" applyFont="1">
      <alignment shrinkToFit="0" vertical="center" wrapText="0"/>
    </xf>
    <xf borderId="0" fillId="5" fontId="2" numFmtId="0" xfId="0" applyAlignment="1" applyFill="1" applyFont="1">
      <alignment readingOrder="0" shrinkToFit="0" vertical="center" wrapText="0"/>
    </xf>
    <xf borderId="5" fillId="5" fontId="4" numFmtId="0" xfId="0" applyAlignment="1" applyBorder="1" applyFill="1" applyFont="1">
      <alignment horizontal="right" shrinkToFit="0" vertical="center" wrapText="0"/>
    </xf>
    <xf borderId="2" fillId="4" fontId="4" numFmtId="0" xfId="0" applyAlignment="1" applyBorder="1" applyFill="1" applyFont="1">
      <alignment horizontal="right" shrinkToFit="0" vertical="center" wrapText="0"/>
    </xf>
    <xf borderId="0" fillId="4" fontId="4" numFmtId="0" xfId="0" applyAlignment="1" applyFill="1" applyFont="1">
      <alignment horizontal="right" shrinkToFit="0" vertical="center" wrapText="0"/>
    </xf>
    <xf borderId="6" fillId="4" fontId="2" numFmtId="0" xfId="0" applyAlignment="1" applyBorder="1" applyFill="1" applyFont="1">
      <alignment readingOrder="0" shrinkToFit="0" vertical="center" wrapText="0"/>
    </xf>
    <xf borderId="0" fillId="0" fontId="1" numFmtId="0" xfId="0" applyFont="1"/>
    <xf borderId="4" fillId="5" fontId="2" numFmtId="0" xfId="0" applyAlignment="1" applyBorder="1" applyFill="1" applyFont="1">
      <alignment shrinkToFit="0" vertical="center" wrapText="0"/>
    </xf>
    <xf borderId="0" fillId="6" fontId="1" numFmtId="49" xfId="0" applyAlignment="1" applyFill="1" applyFont="1" applyNumberFormat="1">
      <alignment readingOrder="0" shrinkToFit="0" vertical="center" wrapText="0"/>
    </xf>
    <xf borderId="0" fillId="5" fontId="2" numFmtId="0" xfId="0" applyAlignment="1" applyFill="1" applyFont="1">
      <alignment shrinkToFit="0" vertical="center" wrapText="0"/>
    </xf>
    <xf borderId="5" fillId="5" fontId="2" numFmtId="0" xfId="0" applyAlignment="1" applyBorder="1" applyFill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2" fillId="4" fontId="4" numFmtId="0" xfId="0" applyAlignment="1" applyBorder="1" applyFill="1" applyFont="1">
      <alignment horizontal="right" readingOrder="0" shrinkToFit="0" vertical="center" wrapText="0"/>
    </xf>
    <xf borderId="0" fillId="4" fontId="4" numFmtId="0" xfId="0" applyAlignment="1" applyFill="1" applyFont="1">
      <alignment horizontal="right" readingOrder="0" shrinkToFit="0" vertical="center" wrapText="0"/>
    </xf>
    <xf borderId="6" fillId="4" fontId="4" numFmtId="0" xfId="0" applyAlignment="1" applyBorder="1" applyFill="1" applyFont="1">
      <alignment horizontal="right" readingOrder="0" shrinkToFit="0" vertical="center" wrapText="0"/>
    </xf>
    <xf borderId="5" fillId="5" fontId="4" numFmtId="0" xfId="0" applyAlignment="1" applyBorder="1" applyFill="1" applyFont="1">
      <alignment horizontal="right" readingOrder="0" shrinkToFit="0" vertical="center" wrapText="0"/>
    </xf>
    <xf borderId="6" fillId="4" fontId="2" numFmtId="0" xfId="0" applyAlignment="1" applyBorder="1" applyFill="1" applyFont="1">
      <alignment shrinkToFit="0" vertical="center" wrapText="0"/>
    </xf>
    <xf borderId="4" fillId="5" fontId="4" numFmtId="0" xfId="0" applyAlignment="1" applyBorder="1" applyFill="1" applyFont="1">
      <alignment horizontal="right" shrinkToFit="0" vertical="center" wrapText="0"/>
    </xf>
    <xf borderId="0" fillId="5" fontId="4" numFmtId="0" xfId="0" applyAlignment="1" applyFill="1" applyFont="1">
      <alignment horizontal="right" readingOrder="0" shrinkToFit="0" vertical="center" wrapText="0"/>
    </xf>
    <xf borderId="2" fillId="4" fontId="2" numFmtId="0" xfId="0" applyAlignment="1" applyBorder="1" applyFill="1" applyFont="1">
      <alignment shrinkToFit="0" vertical="center" wrapText="0"/>
    </xf>
    <xf borderId="0" fillId="4" fontId="2" numFmtId="0" xfId="0" applyAlignment="1" applyFill="1" applyFont="1">
      <alignment shrinkToFit="0" vertical="center" wrapText="0"/>
    </xf>
    <xf borderId="6" fillId="4" fontId="2" numFmtId="0" xfId="0" applyAlignment="1" applyBorder="1" applyFill="1" applyFont="1">
      <alignment shrinkToFit="0" vertical="center" wrapText="0"/>
    </xf>
    <xf borderId="4" fillId="5" fontId="4" numFmtId="0" xfId="0" applyAlignment="1" applyBorder="1" applyFill="1" applyFont="1">
      <alignment horizontal="right" readingOrder="0" shrinkToFit="0" vertical="center" wrapText="0"/>
    </xf>
    <xf borderId="5" fillId="5" fontId="2" numFmtId="0" xfId="0" applyAlignment="1" applyBorder="1" applyFill="1" applyFont="1">
      <alignment shrinkToFit="0" vertical="center" wrapText="0"/>
    </xf>
    <xf borderId="0" fillId="4" fontId="2" numFmtId="0" xfId="0" applyAlignment="1" applyFill="1" applyFont="1">
      <alignment readingOrder="0" shrinkToFit="0" vertical="center" wrapText="0"/>
    </xf>
    <xf borderId="6" fillId="4" fontId="4" numFmtId="0" xfId="0" applyAlignment="1" applyBorder="1" applyFill="1" applyFont="1">
      <alignment horizontal="right" shrinkToFit="0" vertical="center" wrapText="0"/>
    </xf>
    <xf borderId="0" fillId="5" fontId="4" numFmtId="0" xfId="0" applyAlignment="1" applyFill="1" applyFont="1">
      <alignment horizontal="right" shrinkToFit="0" vertical="center" wrapText="0"/>
    </xf>
    <xf borderId="5" fillId="5" fontId="2" numFmtId="0" xfId="0" applyAlignment="1" applyBorder="1" applyFill="1" applyFont="1">
      <alignment readingOrder="0" shrinkToFit="0" vertical="center" wrapText="0"/>
    </xf>
    <xf borderId="0" fillId="7" fontId="2" numFmtId="49" xfId="0" applyAlignment="1" applyFill="1" applyFont="1" applyNumberFormat="1">
      <alignment readingOrder="0" shrinkToFit="0" vertical="center" wrapText="0"/>
    </xf>
    <xf borderId="7" fillId="4" fontId="2" numFmtId="0" xfId="0" applyAlignment="1" applyBorder="1" applyFill="1" applyFont="1">
      <alignment readingOrder="0" shrinkToFit="0" vertical="center" wrapText="0"/>
    </xf>
    <xf borderId="8" fillId="5" fontId="2" numFmtId="0" xfId="0" applyAlignment="1" applyBorder="1" applyFill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</dxfs>
  <tableStyles count="4">
    <tableStyle count="4" pivot="0" name="隊費明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隊費及儲值金收費紀錄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比賽逐場費用明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比賽逐場費用明細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38" displayName="颶風騎士2026收支費用表格_3" name="颶風騎士2026收支費用表格_3" id="2">
  <tableColumns count="4">
    <tableColumn name="球員姓名" id="1"/>
    <tableColumn name="隊費" id="2"/>
    <tableColumn name="比賽儲值金" id="3"/>
    <tableColumn name="狀態" id="4"/>
  </tableColumns>
  <tableStyleInfo name="隊費及儲值金收費紀錄-style" showColumnStripes="0" showFirstColumn="1" showLastColumn="1" showRowStripes="1"/>
</table>
</file>

<file path=xl/tables/table2.xml><?xml version="1.0" encoding="utf-8"?>
<table xmlns="http://schemas.openxmlformats.org/spreadsheetml/2006/main" ref="A1:L38" displayName="颶風騎士2026收支費用表格" name="颶風騎士2026收支費用表格" id="3">
  <tableColumns count="12">
    <tableColumn name="球員姓名" id="1"/>
    <tableColumn name="比賽儲值金" id="2"/>
    <tableColumn name="儲值金餘額" id="3"/>
    <tableColumn name="比賽日3/8 （八里熱身賽）_x000a_(總費用: 1900)" id="4"/>
    <tableColumn name="比賽日3/29 (瓊林熱身賽)_x000a_(總費用: 1920 )" id="5"/>
    <tableColumn name="比賽日4/26 (VS TNT)_x000a_(總費用: 2943) _x000a_ " id="6"/>
    <tableColumn name="比賽日5/3 (VS 卡吐司)_x000a_(總費用:  _x000a_ 2859)" id="7"/>
    <tableColumn name="比賽日5/24 (VS 宙斯Z )_x000a_(總費用:  _x000a_ 2943)" id="8"/>
    <tableColumn name="比賽日6/7 (VS 夢想家 )_x000a_(總費用:  _x000a_ 2943)" id="9"/>
    <tableColumn name="比賽日7/19 (VS 紅閃電)_x000a_(總費用:  _x000a_ 3050）" id="10"/>
    <tableColumn name="Column 12比賽日8/2 (VS 戰神)_x000a_(總費用:  _x000a_ 2946）" id="11"/>
    <tableColumn name="比賽日8/30 (VS 戰神)_x000a_(總費用:  _x000a_ 2950）" id="12"/>
  </tableColumns>
  <tableStyleInfo name="比賽逐場費用明細-style" showColumnStripes="0" showFirstColumn="1" showLastColumn="1" showRowStripes="1"/>
</table>
</file>

<file path=xl/tables/table3.xml><?xml version="1.0" encoding="utf-8"?>
<table xmlns="http://schemas.openxmlformats.org/spreadsheetml/2006/main" ref="U1:U38" displayName="儲值金紀錄" name="儲值金紀錄" id="4">
  <tableColumns count="1">
    <tableColumn name="比賽儲值金_x000a_加值紀錄_x000a__x000a_(金額)" id="1"/>
  </tableColumns>
  <tableStyleInfo name="比賽逐場費用明細-style 2" showColumnStripes="0" showFirstColumn="1" showLastColumn="1" showRowStripes="1"/>
</table>
</file>

<file path=xl/tables/table4.xml><?xml version="1.0" encoding="utf-8"?>
<table xmlns="http://schemas.openxmlformats.org/spreadsheetml/2006/main" ref="A1:B34" displayName="颶風騎士2026收支費用表格_2" name="颶風騎士2026收支費用表格_2" id="1">
  <tableColumns count="2">
    <tableColumn name="日期 / 項目" id="1"/>
    <tableColumn name="收入/支出金額" id="2"/>
  </tableColumns>
  <tableStyleInfo name="隊費明細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7.0"/>
    <col customWidth="1" min="3" max="3" width="9.13"/>
    <col customWidth="1" min="4" max="4" width="15.13"/>
  </cols>
  <sheetData>
    <row r="1" ht="69.75" customHeight="1">
      <c r="A1" s="1" t="s">
        <v>0</v>
      </c>
      <c r="B1" s="1" t="s">
        <v>2</v>
      </c>
      <c r="C1" s="1" t="s">
        <v>4</v>
      </c>
      <c r="D1" s="1" t="s">
        <v>6</v>
      </c>
    </row>
    <row r="2" ht="22.5" customHeight="1">
      <c r="A2" s="4" t="s">
        <v>8</v>
      </c>
      <c r="B2" s="5">
        <v>1000.0</v>
      </c>
      <c r="C2" s="5">
        <v>2000.0</v>
      </c>
      <c r="D2" s="7" t="s">
        <v>11</v>
      </c>
    </row>
    <row r="3" ht="22.5" customHeight="1">
      <c r="A3" s="4" t="s">
        <v>17</v>
      </c>
      <c r="B3" s="5">
        <v>1000.0</v>
      </c>
      <c r="C3" s="5">
        <v>2000.0</v>
      </c>
      <c r="D3" s="7" t="s">
        <v>11</v>
      </c>
    </row>
    <row r="4" ht="22.5" customHeight="1">
      <c r="A4" s="4" t="s">
        <v>22</v>
      </c>
      <c r="B4" s="5">
        <v>1000.0</v>
      </c>
      <c r="C4" s="5">
        <v>2000.0</v>
      </c>
      <c r="D4" s="7" t="s">
        <v>11</v>
      </c>
    </row>
    <row r="5" ht="22.5" customHeight="1">
      <c r="A5" s="4" t="s">
        <v>23</v>
      </c>
      <c r="B5" s="5">
        <v>1000.0</v>
      </c>
      <c r="C5" s="5">
        <v>2000.0</v>
      </c>
      <c r="D5" s="7" t="s">
        <v>11</v>
      </c>
    </row>
    <row r="6" ht="22.5" customHeight="1">
      <c r="A6" s="4" t="s">
        <v>24</v>
      </c>
      <c r="B6" s="5">
        <v>1000.0</v>
      </c>
      <c r="C6" s="5">
        <v>2000.0</v>
      </c>
      <c r="D6" s="7" t="s">
        <v>11</v>
      </c>
    </row>
    <row r="7" ht="22.5" customHeight="1">
      <c r="A7" s="4" t="s">
        <v>25</v>
      </c>
      <c r="B7" s="5">
        <v>1000.0</v>
      </c>
      <c r="C7" s="5">
        <v>2000.0</v>
      </c>
      <c r="D7" s="7" t="s">
        <v>11</v>
      </c>
    </row>
    <row r="8" ht="22.5" customHeight="1">
      <c r="A8" s="4" t="s">
        <v>26</v>
      </c>
      <c r="B8" s="5">
        <v>1000.0</v>
      </c>
      <c r="C8" s="5">
        <v>2000.0</v>
      </c>
      <c r="D8" s="7" t="s">
        <v>11</v>
      </c>
    </row>
    <row r="9" ht="22.5" customHeight="1">
      <c r="A9" s="4" t="s">
        <v>27</v>
      </c>
      <c r="B9" s="5">
        <v>1000.0</v>
      </c>
      <c r="C9" s="5">
        <v>2000.0</v>
      </c>
      <c r="D9" s="7" t="s">
        <v>11</v>
      </c>
    </row>
    <row r="10" ht="22.5" customHeight="1">
      <c r="A10" s="4" t="s">
        <v>28</v>
      </c>
      <c r="B10" s="5">
        <v>1000.0</v>
      </c>
      <c r="C10" s="5">
        <v>2000.0</v>
      </c>
      <c r="D10" s="7" t="s">
        <v>11</v>
      </c>
    </row>
    <row r="11" ht="22.5" customHeight="1">
      <c r="A11" s="4" t="s">
        <v>29</v>
      </c>
      <c r="B11" s="5">
        <v>1000.0</v>
      </c>
      <c r="C11" s="5">
        <v>2000.0</v>
      </c>
      <c r="D11" s="7" t="s">
        <v>11</v>
      </c>
    </row>
    <row r="12" ht="22.5" customHeight="1">
      <c r="A12" s="4" t="s">
        <v>30</v>
      </c>
      <c r="B12" s="5">
        <v>1000.0</v>
      </c>
      <c r="C12" s="5">
        <v>2000.0</v>
      </c>
      <c r="D12" s="7" t="s">
        <v>11</v>
      </c>
    </row>
    <row r="13" ht="22.5" customHeight="1">
      <c r="A13" s="4" t="s">
        <v>31</v>
      </c>
      <c r="B13" s="5">
        <v>1000.0</v>
      </c>
      <c r="C13" s="5">
        <v>2000.0</v>
      </c>
      <c r="D13" s="7" t="s">
        <v>11</v>
      </c>
    </row>
    <row r="14" ht="22.5" customHeight="1">
      <c r="A14" s="4" t="s">
        <v>32</v>
      </c>
      <c r="B14" s="5">
        <v>1000.0</v>
      </c>
      <c r="C14" s="5">
        <v>2000.0</v>
      </c>
      <c r="D14" s="7" t="s">
        <v>11</v>
      </c>
    </row>
    <row r="15" ht="22.5" customHeight="1">
      <c r="A15" s="4" t="s">
        <v>33</v>
      </c>
      <c r="B15" s="5">
        <v>1000.0</v>
      </c>
      <c r="C15" s="5">
        <v>2000.0</v>
      </c>
      <c r="D15" s="7" t="s">
        <v>11</v>
      </c>
    </row>
    <row r="16" ht="22.5" customHeight="1">
      <c r="A16" s="4" t="s">
        <v>34</v>
      </c>
      <c r="B16" s="5">
        <v>1000.0</v>
      </c>
      <c r="C16" s="5">
        <v>2000.0</v>
      </c>
      <c r="D16" s="7" t="s">
        <v>11</v>
      </c>
    </row>
    <row r="17" ht="22.5" customHeight="1">
      <c r="A17" s="4" t="s">
        <v>35</v>
      </c>
      <c r="B17" s="5">
        <v>1000.0</v>
      </c>
      <c r="C17" s="5">
        <v>2000.0</v>
      </c>
      <c r="D17" s="7" t="s">
        <v>11</v>
      </c>
    </row>
    <row r="18" ht="22.5" customHeight="1">
      <c r="A18" s="4" t="s">
        <v>36</v>
      </c>
      <c r="B18" s="5">
        <v>1000.0</v>
      </c>
      <c r="C18" s="5">
        <v>2000.0</v>
      </c>
      <c r="D18" s="7" t="s">
        <v>11</v>
      </c>
    </row>
    <row r="19" ht="22.5" customHeight="1">
      <c r="A19" s="4" t="s">
        <v>37</v>
      </c>
      <c r="B19" s="5">
        <v>1000.0</v>
      </c>
      <c r="C19" s="5">
        <v>2000.0</v>
      </c>
      <c r="D19" s="7" t="s">
        <v>11</v>
      </c>
    </row>
    <row r="20" ht="22.5" customHeight="1">
      <c r="A20" s="4" t="s">
        <v>38</v>
      </c>
      <c r="B20" s="5">
        <v>1000.0</v>
      </c>
      <c r="C20" s="5">
        <v>2000.0</v>
      </c>
      <c r="D20" s="7" t="s">
        <v>11</v>
      </c>
    </row>
    <row r="21" ht="22.5" customHeight="1">
      <c r="A21" s="25" t="s">
        <v>40</v>
      </c>
      <c r="B21" s="5"/>
      <c r="C21" s="5">
        <v>1500.0</v>
      </c>
      <c r="D21" s="7" t="s">
        <v>11</v>
      </c>
    </row>
    <row r="22" ht="22.5" customHeight="1">
      <c r="A22" s="4" t="s">
        <v>43</v>
      </c>
      <c r="B22" s="5">
        <v>1000.0</v>
      </c>
      <c r="C22" s="5">
        <v>2000.0</v>
      </c>
      <c r="D22" s="7" t="s">
        <v>11</v>
      </c>
    </row>
    <row r="23" ht="22.5" customHeight="1">
      <c r="A23" s="4" t="s">
        <v>44</v>
      </c>
      <c r="B23" s="5">
        <v>1000.0</v>
      </c>
      <c r="C23" s="5">
        <v>2000.0</v>
      </c>
      <c r="D23" s="7" t="s">
        <v>11</v>
      </c>
    </row>
    <row r="24" ht="22.5" customHeight="1">
      <c r="A24" s="4" t="s">
        <v>45</v>
      </c>
      <c r="B24" s="5">
        <v>1000.0</v>
      </c>
      <c r="C24" s="5">
        <v>2000.0</v>
      </c>
      <c r="D24" s="7" t="s">
        <v>11</v>
      </c>
    </row>
    <row r="25" ht="22.5" customHeight="1">
      <c r="A25" s="4" t="s">
        <v>46</v>
      </c>
      <c r="B25" s="5">
        <v>1000.0</v>
      </c>
      <c r="C25" s="5">
        <v>2000.0</v>
      </c>
      <c r="D25" s="7" t="s">
        <v>11</v>
      </c>
    </row>
    <row r="26" ht="22.5" customHeight="1">
      <c r="A26" s="4" t="s">
        <v>47</v>
      </c>
      <c r="B26" s="5">
        <v>1000.0</v>
      </c>
      <c r="C26" s="5">
        <v>2000.0</v>
      </c>
      <c r="D26" s="7" t="s">
        <v>11</v>
      </c>
    </row>
    <row r="27" ht="22.5" customHeight="1">
      <c r="A27" s="4" t="s">
        <v>48</v>
      </c>
      <c r="B27" s="5">
        <v>1000.0</v>
      </c>
      <c r="C27" s="5">
        <v>2000.0</v>
      </c>
      <c r="D27" s="7" t="s">
        <v>11</v>
      </c>
    </row>
    <row r="28" ht="22.5" customHeight="1">
      <c r="A28" s="4" t="s">
        <v>49</v>
      </c>
      <c r="B28" s="5">
        <v>1000.0</v>
      </c>
      <c r="C28" s="5">
        <v>2000.0</v>
      </c>
      <c r="D28" s="7" t="s">
        <v>11</v>
      </c>
    </row>
    <row r="29" ht="22.5" customHeight="1">
      <c r="A29" s="4" t="s">
        <v>50</v>
      </c>
      <c r="B29" s="5">
        <v>1000.0</v>
      </c>
      <c r="C29" s="5">
        <v>2000.0</v>
      </c>
      <c r="D29" s="7" t="s">
        <v>11</v>
      </c>
    </row>
    <row r="30" ht="22.5" customHeight="1">
      <c r="A30" s="25" t="s">
        <v>51</v>
      </c>
      <c r="B30" s="5"/>
      <c r="C30" s="5">
        <v>1500.0</v>
      </c>
      <c r="D30" s="7" t="s">
        <v>11</v>
      </c>
    </row>
    <row r="31" ht="22.5" customHeight="1">
      <c r="A31" s="4" t="s">
        <v>52</v>
      </c>
      <c r="B31" s="5">
        <v>1000.0</v>
      </c>
      <c r="C31" s="5">
        <v>2000.0</v>
      </c>
      <c r="D31" s="7" t="s">
        <v>11</v>
      </c>
    </row>
    <row r="32" ht="22.5" customHeight="1">
      <c r="A32" s="4" t="s">
        <v>53</v>
      </c>
      <c r="B32" s="5">
        <v>1000.0</v>
      </c>
      <c r="C32" s="5">
        <v>2000.0</v>
      </c>
      <c r="D32" s="7" t="s">
        <v>11</v>
      </c>
    </row>
    <row r="33" ht="22.5" customHeight="1">
      <c r="A33" s="4" t="s">
        <v>54</v>
      </c>
      <c r="B33" s="5">
        <v>1000.0</v>
      </c>
      <c r="C33" s="5">
        <v>2000.0</v>
      </c>
      <c r="D33" s="7" t="s">
        <v>11</v>
      </c>
    </row>
    <row r="34" ht="22.5" customHeight="1">
      <c r="A34" s="4" t="s">
        <v>55</v>
      </c>
      <c r="B34" s="5">
        <v>1000.0</v>
      </c>
      <c r="C34" s="5">
        <v>2000.0</v>
      </c>
      <c r="D34" s="7" t="s">
        <v>11</v>
      </c>
    </row>
    <row r="35" ht="22.5" customHeight="1">
      <c r="A35" s="25" t="s">
        <v>56</v>
      </c>
      <c r="B35" s="5"/>
      <c r="C35" s="5">
        <v>1500.0</v>
      </c>
      <c r="D35" s="7" t="s">
        <v>11</v>
      </c>
    </row>
    <row r="36" ht="22.5" customHeight="1">
      <c r="A36" s="25" t="s">
        <v>57</v>
      </c>
      <c r="B36" s="5"/>
      <c r="C36" s="5">
        <v>1500.0</v>
      </c>
      <c r="D36" s="7" t="s">
        <v>11</v>
      </c>
    </row>
    <row r="37" ht="22.5" customHeight="1">
      <c r="A37" s="25" t="s">
        <v>58</v>
      </c>
      <c r="B37" s="5"/>
      <c r="C37" s="5">
        <v>1500.0</v>
      </c>
      <c r="D37" s="7" t="s">
        <v>11</v>
      </c>
    </row>
    <row r="38" ht="22.5" customHeight="1">
      <c r="A38" s="4" t="s">
        <v>59</v>
      </c>
      <c r="B38" s="5">
        <v>1000.0</v>
      </c>
      <c r="C38" s="5">
        <v>2000.0</v>
      </c>
      <c r="D38" s="7" t="s">
        <v>11</v>
      </c>
    </row>
  </sheetData>
  <dataValidations>
    <dataValidation type="list" allowBlank="1" sqref="D2:D38">
      <formula1>"已繳納,未繳納"</formula1>
    </dataValidation>
    <dataValidation allowBlank="1" showDropDown="1" sqref="A2:A38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25"/>
    <col customWidth="1" min="2" max="2" width="9.13"/>
    <col customWidth="1" min="3" max="3" width="11.0"/>
    <col customWidth="1" min="4" max="4" width="25.63"/>
    <col customWidth="1" min="5" max="5" width="20.5"/>
    <col customWidth="1" min="6" max="6" width="21.63"/>
    <col customWidth="1" min="7" max="7" width="22.25"/>
    <col customWidth="1" min="8" max="8" width="22.88"/>
    <col customWidth="1" min="9" max="12" width="24.13"/>
    <col customWidth="1" min="21" max="21" width="18.63"/>
  </cols>
  <sheetData>
    <row r="1" ht="69.75" customHeight="1">
      <c r="A1" s="3" t="s">
        <v>0</v>
      </c>
      <c r="B1" s="3" t="s">
        <v>4</v>
      </c>
      <c r="C1" s="3" t="s">
        <v>9</v>
      </c>
      <c r="D1" s="6" t="s">
        <v>10</v>
      </c>
      <c r="E1" s="6" t="s">
        <v>12</v>
      </c>
      <c r="F1" s="6" t="s">
        <v>13</v>
      </c>
      <c r="G1" s="6" t="s">
        <v>14</v>
      </c>
      <c r="H1" s="6" t="s">
        <v>15</v>
      </c>
      <c r="I1" s="8" t="s">
        <v>16</v>
      </c>
      <c r="J1" s="9" t="s">
        <v>18</v>
      </c>
      <c r="K1" s="9" t="s">
        <v>19</v>
      </c>
      <c r="L1" s="9" t="s">
        <v>20</v>
      </c>
      <c r="U1" s="1" t="s">
        <v>21</v>
      </c>
    </row>
    <row r="2" ht="22.5" customHeight="1">
      <c r="A2" s="10" t="s">
        <v>8</v>
      </c>
      <c r="B2" s="11">
        <v>2000.0</v>
      </c>
      <c r="C2" s="12">
        <f t="shared" ref="C2:C38" si="1">B2-D2-E2-F2-G2-H2-I2-J2-K2-L2-M2-N2-O2-P2-Q2-R2-S2-T2+U2</f>
        <v>1609</v>
      </c>
      <c r="D2" s="11"/>
      <c r="E2" s="11">
        <v>114.0</v>
      </c>
      <c r="F2" s="12"/>
      <c r="G2" s="12"/>
      <c r="H2" s="11">
        <v>277.0</v>
      </c>
      <c r="I2" s="13"/>
      <c r="J2" s="14"/>
      <c r="K2" s="14"/>
      <c r="L2" s="15"/>
      <c r="U2" s="5"/>
    </row>
    <row r="3" ht="22.5" customHeight="1">
      <c r="A3" s="10" t="s">
        <v>17</v>
      </c>
      <c r="B3" s="11">
        <v>2000.0</v>
      </c>
      <c r="C3" s="12">
        <f t="shared" si="1"/>
        <v>1059</v>
      </c>
      <c r="D3" s="12"/>
      <c r="E3" s="11">
        <v>114.0</v>
      </c>
      <c r="F3" s="11">
        <v>256.0</v>
      </c>
      <c r="G3" s="11"/>
      <c r="H3" s="11">
        <v>277.0</v>
      </c>
      <c r="I3" s="16"/>
      <c r="J3" s="17"/>
      <c r="K3" s="18">
        <v>294.0</v>
      </c>
      <c r="L3" s="19"/>
      <c r="U3" s="5"/>
    </row>
    <row r="4" ht="22.5" customHeight="1">
      <c r="A4" s="10" t="s">
        <v>22</v>
      </c>
      <c r="B4" s="11">
        <v>2000.0</v>
      </c>
      <c r="C4" s="12">
        <f t="shared" si="1"/>
        <v>1126</v>
      </c>
      <c r="D4" s="11">
        <v>162.0</v>
      </c>
      <c r="E4" s="12"/>
      <c r="F4" s="12"/>
      <c r="G4" s="11">
        <v>123.0</v>
      </c>
      <c r="H4" s="11">
        <v>277.0</v>
      </c>
      <c r="I4" s="20"/>
      <c r="J4" s="21"/>
      <c r="K4" s="21"/>
      <c r="L4" s="22">
        <v>312.0</v>
      </c>
      <c r="U4" s="5"/>
    </row>
    <row r="5" ht="22.5" customHeight="1">
      <c r="A5" s="10" t="s">
        <v>23</v>
      </c>
      <c r="B5" s="11">
        <v>2000.0</v>
      </c>
      <c r="C5" s="12">
        <f t="shared" si="1"/>
        <v>2000</v>
      </c>
      <c r="D5" s="12"/>
      <c r="E5" s="12"/>
      <c r="F5" s="12"/>
      <c r="G5" s="12"/>
      <c r="H5" s="12"/>
      <c r="I5" s="24"/>
      <c r="J5" s="26"/>
      <c r="K5" s="26"/>
      <c r="L5" s="27"/>
      <c r="U5" s="5"/>
    </row>
    <row r="6" ht="22.5" customHeight="1">
      <c r="A6" s="10" t="s">
        <v>24</v>
      </c>
      <c r="B6" s="11">
        <v>2000.0</v>
      </c>
      <c r="C6" s="12">
        <f t="shared" si="1"/>
        <v>206</v>
      </c>
      <c r="D6" s="11">
        <v>162.0</v>
      </c>
      <c r="E6" s="11">
        <v>114.0</v>
      </c>
      <c r="F6" s="11">
        <v>256.0</v>
      </c>
      <c r="G6" s="11">
        <v>123.0</v>
      </c>
      <c r="H6" s="11">
        <v>277.0</v>
      </c>
      <c r="I6" s="29">
        <v>256.0</v>
      </c>
      <c r="J6" s="30"/>
      <c r="K6" s="30">
        <v>294.0</v>
      </c>
      <c r="L6" s="31">
        <v>312.0</v>
      </c>
      <c r="U6" s="5"/>
    </row>
    <row r="7" ht="22.5" customHeight="1">
      <c r="A7" s="10" t="s">
        <v>25</v>
      </c>
      <c r="B7" s="11">
        <v>2000.0</v>
      </c>
      <c r="C7" s="12">
        <f t="shared" si="1"/>
        <v>793</v>
      </c>
      <c r="D7" s="11">
        <v>162.0</v>
      </c>
      <c r="E7" s="11">
        <v>114.0</v>
      </c>
      <c r="F7" s="12"/>
      <c r="G7" s="12"/>
      <c r="H7" s="12"/>
      <c r="I7" s="24"/>
      <c r="J7" s="18">
        <v>325.0</v>
      </c>
      <c r="K7" s="18">
        <v>294.0</v>
      </c>
      <c r="L7" s="32">
        <v>312.0</v>
      </c>
      <c r="U7" s="5"/>
    </row>
    <row r="8" ht="22.5" customHeight="1">
      <c r="A8" s="10" t="s">
        <v>26</v>
      </c>
      <c r="B8" s="11">
        <v>2000.0</v>
      </c>
      <c r="C8" s="12">
        <f t="shared" si="1"/>
        <v>453</v>
      </c>
      <c r="D8" s="12"/>
      <c r="E8" s="11">
        <v>114.0</v>
      </c>
      <c r="F8" s="11">
        <v>256.0</v>
      </c>
      <c r="G8" s="11">
        <v>246.0</v>
      </c>
      <c r="H8" s="11"/>
      <c r="I8" s="20"/>
      <c r="J8" s="30">
        <v>325.0</v>
      </c>
      <c r="K8" s="30">
        <v>294.0</v>
      </c>
      <c r="L8" s="31">
        <v>312.0</v>
      </c>
      <c r="U8" s="5"/>
    </row>
    <row r="9" ht="22.5" customHeight="1">
      <c r="A9" s="10" t="s">
        <v>27</v>
      </c>
      <c r="B9" s="11">
        <v>2000.0</v>
      </c>
      <c r="C9" s="12">
        <f t="shared" si="1"/>
        <v>2000</v>
      </c>
      <c r="D9" s="12"/>
      <c r="E9" s="12"/>
      <c r="F9" s="12"/>
      <c r="G9" s="12"/>
      <c r="H9" s="12"/>
      <c r="I9" s="24"/>
      <c r="J9" s="26"/>
      <c r="K9" s="26"/>
      <c r="L9" s="27"/>
      <c r="U9" s="5"/>
    </row>
    <row r="10" ht="22.5" customHeight="1">
      <c r="A10" s="10" t="s">
        <v>28</v>
      </c>
      <c r="B10" s="11">
        <v>2000.0</v>
      </c>
      <c r="C10" s="12">
        <f t="shared" si="1"/>
        <v>910</v>
      </c>
      <c r="D10" s="11">
        <v>162.0</v>
      </c>
      <c r="E10" s="11">
        <v>114.0</v>
      </c>
      <c r="F10" s="11">
        <v>256.0</v>
      </c>
      <c r="G10" s="11">
        <v>246.0</v>
      </c>
      <c r="H10" s="11"/>
      <c r="I10" s="20"/>
      <c r="J10" s="21"/>
      <c r="K10" s="21"/>
      <c r="L10" s="22">
        <v>312.0</v>
      </c>
      <c r="U10" s="5"/>
    </row>
    <row r="11" ht="22.5" customHeight="1">
      <c r="A11" s="10" t="s">
        <v>29</v>
      </c>
      <c r="B11" s="11">
        <v>2000.0</v>
      </c>
      <c r="C11" s="12">
        <f t="shared" si="1"/>
        <v>2000</v>
      </c>
      <c r="D11" s="12"/>
      <c r="E11" s="12"/>
      <c r="F11" s="12"/>
      <c r="G11" s="12"/>
      <c r="H11" s="12"/>
      <c r="I11" s="24"/>
      <c r="J11" s="26"/>
      <c r="K11" s="26"/>
      <c r="L11" s="27"/>
      <c r="U11" s="5"/>
    </row>
    <row r="12" ht="22.5" customHeight="1">
      <c r="A12" s="10" t="s">
        <v>30</v>
      </c>
      <c r="B12" s="11">
        <v>2000.0</v>
      </c>
      <c r="C12" s="12">
        <f t="shared" si="1"/>
        <v>2000</v>
      </c>
      <c r="D12" s="12"/>
      <c r="E12" s="12"/>
      <c r="F12" s="12"/>
      <c r="G12" s="12"/>
      <c r="H12" s="12"/>
      <c r="I12" s="13"/>
      <c r="J12" s="14"/>
      <c r="K12" s="14"/>
      <c r="L12" s="33"/>
      <c r="U12" s="5"/>
    </row>
    <row r="13" ht="22.5" customHeight="1">
      <c r="A13" s="10" t="s">
        <v>31</v>
      </c>
      <c r="B13" s="11">
        <v>2000.0</v>
      </c>
      <c r="C13" s="12">
        <f t="shared" si="1"/>
        <v>717</v>
      </c>
      <c r="D13" s="11">
        <v>162.0</v>
      </c>
      <c r="E13" s="12"/>
      <c r="F13" s="11">
        <v>256.0</v>
      </c>
      <c r="G13" s="11">
        <v>246.0</v>
      </c>
      <c r="H13" s="11"/>
      <c r="I13" s="34"/>
      <c r="J13" s="35">
        <v>325.0</v>
      </c>
      <c r="K13" s="35">
        <v>294.0</v>
      </c>
      <c r="L13" s="19"/>
      <c r="U13" s="5"/>
    </row>
    <row r="14" ht="22.5" customHeight="1">
      <c r="A14" s="10" t="s">
        <v>32</v>
      </c>
      <c r="B14" s="11">
        <v>2000.0</v>
      </c>
      <c r="C14" s="12">
        <f t="shared" si="1"/>
        <v>1886</v>
      </c>
      <c r="D14" s="12"/>
      <c r="E14" s="11">
        <v>114.0</v>
      </c>
      <c r="F14" s="12"/>
      <c r="G14" s="12"/>
      <c r="H14" s="12"/>
      <c r="I14" s="13"/>
      <c r="J14" s="14"/>
      <c r="K14" s="14"/>
      <c r="L14" s="33"/>
      <c r="U14" s="5"/>
    </row>
    <row r="15" ht="22.5" customHeight="1">
      <c r="A15" s="10" t="s">
        <v>33</v>
      </c>
      <c r="B15" s="11">
        <v>2000.0</v>
      </c>
      <c r="C15" s="12">
        <f t="shared" si="1"/>
        <v>1861</v>
      </c>
      <c r="D15" s="12"/>
      <c r="E15" s="12"/>
      <c r="F15" s="12"/>
      <c r="G15" s="12"/>
      <c r="H15" s="11">
        <v>139.0</v>
      </c>
      <c r="I15" s="24"/>
      <c r="J15" s="26"/>
      <c r="K15" s="26"/>
      <c r="L15" s="27"/>
      <c r="U15" s="5"/>
    </row>
    <row r="16" ht="22.5" customHeight="1">
      <c r="A16" s="10" t="s">
        <v>34</v>
      </c>
      <c r="B16" s="11">
        <v>2000.0</v>
      </c>
      <c r="C16" s="12">
        <f t="shared" si="1"/>
        <v>285</v>
      </c>
      <c r="D16" s="12"/>
      <c r="E16" s="12"/>
      <c r="F16" s="11">
        <v>128.0</v>
      </c>
      <c r="G16" s="11">
        <v>123.0</v>
      </c>
      <c r="H16" s="11">
        <v>277.0</v>
      </c>
      <c r="I16" s="29">
        <v>256.0</v>
      </c>
      <c r="J16" s="30">
        <v>325.0</v>
      </c>
      <c r="K16" s="30">
        <v>294.0</v>
      </c>
      <c r="L16" s="31">
        <v>312.0</v>
      </c>
      <c r="U16" s="5"/>
    </row>
    <row r="17" ht="22.5" customHeight="1">
      <c r="A17" s="10" t="s">
        <v>35</v>
      </c>
      <c r="B17" s="11">
        <v>2000.0</v>
      </c>
      <c r="C17" s="12">
        <f t="shared" si="1"/>
        <v>1706</v>
      </c>
      <c r="D17" s="12"/>
      <c r="E17" s="12"/>
      <c r="F17" s="12"/>
      <c r="G17" s="12"/>
      <c r="H17" s="12"/>
      <c r="I17" s="24"/>
      <c r="J17" s="26"/>
      <c r="K17" s="18">
        <v>294.0</v>
      </c>
      <c r="L17" s="19"/>
      <c r="U17" s="5"/>
    </row>
    <row r="18" ht="22.5" customHeight="1">
      <c r="A18" s="10" t="s">
        <v>36</v>
      </c>
      <c r="B18" s="11">
        <v>2000.0</v>
      </c>
      <c r="C18" s="12">
        <f t="shared" si="1"/>
        <v>1467</v>
      </c>
      <c r="D18" s="12"/>
      <c r="E18" s="12"/>
      <c r="F18" s="11">
        <v>256.0</v>
      </c>
      <c r="G18" s="11"/>
      <c r="H18" s="11">
        <v>277.0</v>
      </c>
      <c r="I18" s="36"/>
      <c r="J18" s="37"/>
      <c r="K18" s="37"/>
      <c r="L18" s="38"/>
      <c r="U18" s="5"/>
    </row>
    <row r="19" ht="22.5" customHeight="1">
      <c r="A19" s="10" t="s">
        <v>37</v>
      </c>
      <c r="B19" s="11">
        <v>2000.0</v>
      </c>
      <c r="C19" s="12">
        <f t="shared" si="1"/>
        <v>1368</v>
      </c>
      <c r="D19" s="12"/>
      <c r="E19" s="11">
        <v>114.0</v>
      </c>
      <c r="F19" s="12"/>
      <c r="G19" s="11">
        <v>123.0</v>
      </c>
      <c r="H19" s="11">
        <v>139.0</v>
      </c>
      <c r="I19" s="39">
        <v>256.0</v>
      </c>
      <c r="J19" s="35"/>
      <c r="K19" s="35"/>
      <c r="L19" s="40"/>
      <c r="U19" s="5"/>
    </row>
    <row r="20" ht="22.5" customHeight="1">
      <c r="A20" s="10" t="s">
        <v>38</v>
      </c>
      <c r="B20" s="11">
        <v>2000.0</v>
      </c>
      <c r="C20" s="12">
        <f t="shared" si="1"/>
        <v>1267</v>
      </c>
      <c r="D20" s="11">
        <v>162.0</v>
      </c>
      <c r="E20" s="12"/>
      <c r="F20" s="12"/>
      <c r="G20" s="12"/>
      <c r="H20" s="11">
        <v>277.0</v>
      </c>
      <c r="I20" s="13"/>
      <c r="J20" s="14"/>
      <c r="K20" s="41">
        <v>294.0</v>
      </c>
      <c r="L20" s="42"/>
      <c r="U20" s="5"/>
    </row>
    <row r="21" ht="22.5" customHeight="1">
      <c r="A21" s="10" t="s">
        <v>43</v>
      </c>
      <c r="B21" s="11">
        <v>2000.0</v>
      </c>
      <c r="C21" s="12">
        <f t="shared" si="1"/>
        <v>1020</v>
      </c>
      <c r="D21" s="11">
        <v>162.0</v>
      </c>
      <c r="E21" s="11">
        <v>114.0</v>
      </c>
      <c r="F21" s="11">
        <v>128.0</v>
      </c>
      <c r="G21" s="11">
        <v>123.0</v>
      </c>
      <c r="H21" s="11"/>
      <c r="I21" s="39">
        <v>128.0</v>
      </c>
      <c r="J21" s="35">
        <v>325.0</v>
      </c>
      <c r="K21" s="35"/>
      <c r="L21" s="40"/>
      <c r="U21" s="5"/>
    </row>
    <row r="22" ht="22.5" customHeight="1">
      <c r="A22" s="10" t="s">
        <v>44</v>
      </c>
      <c r="B22" s="11">
        <v>2000.0</v>
      </c>
      <c r="C22" s="12">
        <f t="shared" si="1"/>
        <v>728</v>
      </c>
      <c r="D22" s="12"/>
      <c r="E22" s="12"/>
      <c r="F22" s="11">
        <v>256.0</v>
      </c>
      <c r="G22" s="11">
        <v>123.0</v>
      </c>
      <c r="H22" s="11"/>
      <c r="I22" s="29">
        <v>256.0</v>
      </c>
      <c r="J22" s="30">
        <v>325.0</v>
      </c>
      <c r="K22" s="30"/>
      <c r="L22" s="22">
        <v>312.0</v>
      </c>
      <c r="U22" s="5"/>
    </row>
    <row r="23" ht="22.5" customHeight="1">
      <c r="A23" s="10" t="s">
        <v>45</v>
      </c>
      <c r="B23" s="11">
        <v>2000.0</v>
      </c>
      <c r="C23" s="12">
        <f t="shared" si="1"/>
        <v>2000</v>
      </c>
      <c r="D23" s="12"/>
      <c r="E23" s="12"/>
      <c r="F23" s="12"/>
      <c r="G23" s="12"/>
      <c r="H23" s="12"/>
      <c r="I23" s="24"/>
      <c r="J23" s="26"/>
      <c r="K23" s="26"/>
      <c r="L23" s="27"/>
      <c r="U23" s="5"/>
    </row>
    <row r="24" ht="22.5" customHeight="1">
      <c r="A24" s="10" t="s">
        <v>46</v>
      </c>
      <c r="B24" s="11">
        <v>2000.0</v>
      </c>
      <c r="C24" s="12">
        <f t="shared" si="1"/>
        <v>1872</v>
      </c>
      <c r="D24" s="12"/>
      <c r="E24" s="12"/>
      <c r="F24" s="11">
        <v>128.0</v>
      </c>
      <c r="G24" s="11"/>
      <c r="H24" s="11"/>
      <c r="I24" s="36"/>
      <c r="J24" s="37"/>
      <c r="K24" s="37"/>
      <c r="L24" s="38"/>
      <c r="U24" s="5"/>
    </row>
    <row r="25" ht="22.5" customHeight="1">
      <c r="A25" s="10" t="s">
        <v>47</v>
      </c>
      <c r="B25" s="11">
        <v>2000.0</v>
      </c>
      <c r="C25" s="12">
        <f t="shared" si="1"/>
        <v>1317</v>
      </c>
      <c r="D25" s="11">
        <v>162.0</v>
      </c>
      <c r="E25" s="11">
        <v>114.0</v>
      </c>
      <c r="F25" s="11">
        <v>128.0</v>
      </c>
      <c r="G25" s="11">
        <v>123.0</v>
      </c>
      <c r="H25" s="11"/>
      <c r="I25" s="34"/>
      <c r="J25" s="43"/>
      <c r="K25" s="43"/>
      <c r="L25" s="44">
        <v>156.0</v>
      </c>
      <c r="U25" s="5"/>
    </row>
    <row r="26" ht="22.5" customHeight="1">
      <c r="A26" s="10" t="s">
        <v>48</v>
      </c>
      <c r="B26" s="11">
        <v>2000.0</v>
      </c>
      <c r="C26" s="12">
        <f t="shared" si="1"/>
        <v>931</v>
      </c>
      <c r="D26" s="12"/>
      <c r="E26" s="11">
        <v>114.0</v>
      </c>
      <c r="F26" s="11">
        <v>256.0</v>
      </c>
      <c r="G26" s="11">
        <v>246.0</v>
      </c>
      <c r="H26" s="11"/>
      <c r="I26" s="29">
        <v>128.0</v>
      </c>
      <c r="J26" s="30">
        <v>325.0</v>
      </c>
      <c r="K26" s="30"/>
      <c r="L26" s="38"/>
      <c r="U26" s="5"/>
    </row>
    <row r="27" ht="22.5" customHeight="1">
      <c r="A27" s="10" t="s">
        <v>52</v>
      </c>
      <c r="B27" s="11">
        <v>2000.0</v>
      </c>
      <c r="C27" s="12">
        <f t="shared" si="1"/>
        <v>1754</v>
      </c>
      <c r="D27" s="12"/>
      <c r="E27" s="12"/>
      <c r="F27" s="12"/>
      <c r="G27" s="11">
        <v>246.0</v>
      </c>
      <c r="H27" s="11"/>
      <c r="I27" s="20"/>
      <c r="J27" s="21"/>
      <c r="K27" s="21"/>
      <c r="L27" s="38"/>
      <c r="U27" s="5"/>
    </row>
    <row r="28" ht="22.5" customHeight="1">
      <c r="A28" s="10" t="s">
        <v>53</v>
      </c>
      <c r="B28" s="11">
        <v>2000.0</v>
      </c>
      <c r="C28" s="12">
        <f t="shared" si="1"/>
        <v>2000</v>
      </c>
      <c r="D28" s="12"/>
      <c r="E28" s="12"/>
      <c r="F28" s="12"/>
      <c r="G28" s="12"/>
      <c r="H28" s="12"/>
      <c r="I28" s="24"/>
      <c r="J28" s="26"/>
      <c r="K28" s="26"/>
      <c r="L28" s="27"/>
      <c r="U28" s="5"/>
    </row>
    <row r="29" ht="22.5" customHeight="1">
      <c r="A29" s="10" t="s">
        <v>54</v>
      </c>
      <c r="B29" s="11">
        <v>2000.0</v>
      </c>
      <c r="C29" s="12">
        <f t="shared" si="1"/>
        <v>1094</v>
      </c>
      <c r="D29" s="11">
        <v>162.0</v>
      </c>
      <c r="E29" s="11">
        <v>114.0</v>
      </c>
      <c r="F29" s="11">
        <v>256.0</v>
      </c>
      <c r="G29" s="11">
        <v>246.0</v>
      </c>
      <c r="H29" s="11"/>
      <c r="I29" s="29">
        <v>128.0</v>
      </c>
      <c r="J29" s="30"/>
      <c r="K29" s="30"/>
      <c r="L29" s="38"/>
      <c r="U29" s="5"/>
    </row>
    <row r="30" ht="22.5" customHeight="1">
      <c r="A30" s="10" t="s">
        <v>55</v>
      </c>
      <c r="B30" s="11">
        <v>2000.0</v>
      </c>
      <c r="C30" s="12">
        <f t="shared" si="1"/>
        <v>1877</v>
      </c>
      <c r="D30" s="12"/>
      <c r="E30" s="12"/>
      <c r="F30" s="12"/>
      <c r="G30" s="11">
        <v>123.0</v>
      </c>
      <c r="H30" s="11"/>
      <c r="I30" s="34"/>
      <c r="J30" s="43"/>
      <c r="K30" s="43"/>
      <c r="L30" s="40"/>
      <c r="U30" s="5"/>
    </row>
    <row r="31" ht="22.5" customHeight="1">
      <c r="A31" s="10" t="s">
        <v>49</v>
      </c>
      <c r="B31" s="11">
        <v>2000.0</v>
      </c>
      <c r="C31" s="12">
        <f t="shared" si="1"/>
        <v>1763</v>
      </c>
      <c r="D31" s="12"/>
      <c r="E31" s="11">
        <v>114.0</v>
      </c>
      <c r="F31" s="12"/>
      <c r="G31" s="11">
        <v>123.0</v>
      </c>
      <c r="H31" s="11"/>
      <c r="I31" s="20"/>
      <c r="J31" s="21"/>
      <c r="K31" s="21"/>
      <c r="L31" s="38"/>
      <c r="U31" s="5"/>
    </row>
    <row r="32" ht="22.5" customHeight="1">
      <c r="A32" s="10" t="s">
        <v>50</v>
      </c>
      <c r="B32" s="11">
        <v>2000.0</v>
      </c>
      <c r="C32" s="12">
        <f t="shared" si="1"/>
        <v>541</v>
      </c>
      <c r="D32" s="12"/>
      <c r="E32" s="11"/>
      <c r="F32" s="11">
        <v>128.0</v>
      </c>
      <c r="G32" s="11">
        <v>123.0</v>
      </c>
      <c r="H32" s="11">
        <v>277.0</v>
      </c>
      <c r="I32" s="34"/>
      <c r="J32" s="35">
        <v>325.0</v>
      </c>
      <c r="K32" s="35">
        <v>294.0</v>
      </c>
      <c r="L32" s="32">
        <v>312.0</v>
      </c>
      <c r="U32" s="5"/>
    </row>
    <row r="33" ht="22.5" customHeight="1">
      <c r="A33" s="10" t="s">
        <v>59</v>
      </c>
      <c r="B33" s="11">
        <v>2000.0</v>
      </c>
      <c r="C33" s="12">
        <f t="shared" si="1"/>
        <v>2000</v>
      </c>
      <c r="D33" s="12"/>
      <c r="E33" s="12"/>
      <c r="F33" s="12"/>
      <c r="G33" s="12"/>
      <c r="H33" s="12"/>
      <c r="I33" s="13"/>
      <c r="J33" s="14"/>
      <c r="K33" s="14"/>
      <c r="L33" s="33"/>
      <c r="U33" s="5"/>
    </row>
    <row r="34" ht="22.5" customHeight="1">
      <c r="A34" s="45" t="s">
        <v>56</v>
      </c>
      <c r="B34" s="11">
        <v>1500.0</v>
      </c>
      <c r="C34" s="12">
        <f t="shared" si="1"/>
        <v>900</v>
      </c>
      <c r="D34" s="11">
        <v>300.0</v>
      </c>
      <c r="E34" s="11">
        <v>150.0</v>
      </c>
      <c r="F34" s="12"/>
      <c r="G34" s="12"/>
      <c r="H34" s="12"/>
      <c r="I34" s="24"/>
      <c r="J34" s="26"/>
      <c r="K34" s="18">
        <v>150.0</v>
      </c>
      <c r="L34" s="19"/>
      <c r="U34" s="5"/>
    </row>
    <row r="35" ht="22.5" customHeight="1">
      <c r="A35" s="45" t="s">
        <v>40</v>
      </c>
      <c r="B35" s="11">
        <v>1500.0</v>
      </c>
      <c r="C35" s="12">
        <f t="shared" si="1"/>
        <v>600</v>
      </c>
      <c r="D35" s="11">
        <v>150.0</v>
      </c>
      <c r="E35" s="11">
        <v>150.0</v>
      </c>
      <c r="F35" s="12"/>
      <c r="G35" s="12"/>
      <c r="H35" s="11">
        <v>150.0</v>
      </c>
      <c r="I35" s="13"/>
      <c r="J35" s="41">
        <v>150.0</v>
      </c>
      <c r="K35" s="41">
        <v>150.0</v>
      </c>
      <c r="L35" s="31">
        <v>150.0</v>
      </c>
      <c r="U35" s="5"/>
    </row>
    <row r="36" ht="22.5" customHeight="1">
      <c r="A36" s="45" t="s">
        <v>57</v>
      </c>
      <c r="B36" s="11">
        <v>1500.0</v>
      </c>
      <c r="C36" s="12">
        <f t="shared" si="1"/>
        <v>1200</v>
      </c>
      <c r="D36" s="11"/>
      <c r="E36" s="11"/>
      <c r="F36" s="12"/>
      <c r="G36" s="12"/>
      <c r="H36" s="11">
        <v>150.0</v>
      </c>
      <c r="I36" s="41">
        <v>150.0</v>
      </c>
      <c r="J36" s="41"/>
      <c r="K36" s="41"/>
      <c r="L36" s="40"/>
      <c r="U36" s="5"/>
    </row>
    <row r="37" ht="22.5" customHeight="1">
      <c r="A37" s="45" t="s">
        <v>58</v>
      </c>
      <c r="B37" s="11">
        <v>1500.0</v>
      </c>
      <c r="C37" s="12">
        <f t="shared" si="1"/>
        <v>900</v>
      </c>
      <c r="D37" s="11"/>
      <c r="E37" s="11"/>
      <c r="F37" s="12"/>
      <c r="G37" s="11">
        <v>150.0</v>
      </c>
      <c r="H37" s="11">
        <v>150.0</v>
      </c>
      <c r="I37" s="34"/>
      <c r="J37" s="35">
        <v>150.0</v>
      </c>
      <c r="K37" s="35"/>
      <c r="L37" s="22">
        <v>150.0</v>
      </c>
      <c r="U37" s="5"/>
    </row>
    <row r="38" ht="22.5" customHeight="1">
      <c r="A38" s="45" t="s">
        <v>51</v>
      </c>
      <c r="B38" s="11">
        <v>1500.0</v>
      </c>
      <c r="C38" s="12">
        <f t="shared" si="1"/>
        <v>900</v>
      </c>
      <c r="D38" s="11">
        <v>150.0</v>
      </c>
      <c r="E38" s="11">
        <v>150.0</v>
      </c>
      <c r="F38" s="12"/>
      <c r="G38" s="12"/>
      <c r="H38" s="11"/>
      <c r="I38" s="46">
        <v>150.0</v>
      </c>
      <c r="J38" s="41">
        <v>150.0</v>
      </c>
      <c r="K38" s="41"/>
      <c r="L38" s="47"/>
      <c r="U38" s="5"/>
    </row>
  </sheetData>
  <dataValidations>
    <dataValidation allowBlank="1" showDropDown="1" sqref="A2:A38"/>
  </dataValidation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13"/>
    <col customWidth="1" min="2" max="2" width="17.75"/>
  </cols>
  <sheetData>
    <row r="1" ht="22.5" customHeight="1">
      <c r="A1" s="1" t="s">
        <v>1</v>
      </c>
      <c r="B1" s="1" t="s">
        <v>3</v>
      </c>
      <c r="D1" s="2" t="s">
        <v>5</v>
      </c>
    </row>
    <row r="2" ht="22.5" customHeight="1">
      <c r="A2" s="4" t="s">
        <v>7</v>
      </c>
      <c r="B2" s="5">
        <v>400.0</v>
      </c>
      <c r="D2" s="23">
        <f>-SUM(颶風騎士2026收支費用表格_2[收入/支出金額])</f>
        <v>-1936</v>
      </c>
    </row>
    <row r="3" ht="22.5" customHeight="1">
      <c r="A3" s="4" t="s">
        <v>39</v>
      </c>
      <c r="B3" s="5">
        <v>310.0</v>
      </c>
    </row>
    <row r="4" ht="22.5" customHeight="1">
      <c r="A4" s="4" t="s">
        <v>41</v>
      </c>
      <c r="B4" s="5">
        <v>710.0</v>
      </c>
    </row>
    <row r="5" ht="22.5" customHeight="1">
      <c r="A5" s="4" t="s">
        <v>42</v>
      </c>
      <c r="B5" s="5">
        <v>516.0</v>
      </c>
    </row>
    <row r="6" ht="22.5" customHeight="1">
      <c r="A6" s="4"/>
      <c r="B6" s="28"/>
    </row>
    <row r="7" ht="22.5" customHeight="1">
      <c r="A7" s="4"/>
      <c r="B7" s="28"/>
    </row>
    <row r="8" ht="22.5" customHeight="1">
      <c r="A8" s="4"/>
      <c r="B8" s="28"/>
    </row>
    <row r="9" ht="22.5" customHeight="1">
      <c r="A9" s="4"/>
      <c r="B9" s="28"/>
    </row>
    <row r="10" ht="22.5" customHeight="1">
      <c r="A10" s="4"/>
      <c r="B10" s="28"/>
    </row>
    <row r="11" ht="22.5" customHeight="1">
      <c r="A11" s="4"/>
      <c r="B11" s="28"/>
    </row>
    <row r="12" ht="22.5" customHeight="1">
      <c r="A12" s="4"/>
      <c r="B12" s="28"/>
    </row>
    <row r="13" ht="22.5" customHeight="1">
      <c r="A13" s="4"/>
      <c r="B13" s="28"/>
    </row>
    <row r="14" ht="22.5" customHeight="1">
      <c r="A14" s="4"/>
      <c r="B14" s="28"/>
    </row>
    <row r="15" ht="22.5" customHeight="1">
      <c r="A15" s="4"/>
      <c r="B15" s="28"/>
    </row>
    <row r="16" ht="22.5" customHeight="1">
      <c r="A16" s="4"/>
      <c r="B16" s="28"/>
    </row>
    <row r="17" ht="22.5" customHeight="1">
      <c r="A17" s="4"/>
      <c r="B17" s="28"/>
    </row>
    <row r="18" ht="22.5" customHeight="1">
      <c r="A18" s="4"/>
      <c r="B18" s="28"/>
    </row>
    <row r="19" ht="22.5" customHeight="1">
      <c r="A19" s="4"/>
      <c r="B19" s="28"/>
    </row>
    <row r="20" ht="22.5" customHeight="1">
      <c r="A20" s="4"/>
      <c r="B20" s="28"/>
    </row>
    <row r="21" ht="22.5" customHeight="1">
      <c r="A21" s="4"/>
      <c r="B21" s="28"/>
    </row>
    <row r="22" ht="22.5" customHeight="1">
      <c r="A22" s="4"/>
      <c r="B22" s="28"/>
    </row>
    <row r="23" ht="22.5" customHeight="1">
      <c r="A23" s="4"/>
      <c r="B23" s="28"/>
    </row>
    <row r="24" ht="22.5" customHeight="1">
      <c r="A24" s="4"/>
      <c r="B24" s="28"/>
    </row>
    <row r="25" ht="22.5" customHeight="1">
      <c r="A25" s="4"/>
      <c r="B25" s="28"/>
    </row>
    <row r="26" ht="22.5" customHeight="1">
      <c r="A26" s="4"/>
      <c r="B26" s="28"/>
    </row>
    <row r="27" ht="22.5" customHeight="1">
      <c r="A27" s="4"/>
      <c r="B27" s="28"/>
    </row>
    <row r="28" ht="22.5" customHeight="1">
      <c r="A28" s="4"/>
      <c r="B28" s="28"/>
    </row>
    <row r="29" ht="22.5" customHeight="1">
      <c r="A29" s="4"/>
      <c r="B29" s="28"/>
    </row>
    <row r="30" ht="22.5" customHeight="1">
      <c r="A30" s="4"/>
      <c r="B30" s="28"/>
    </row>
    <row r="31" ht="22.5" customHeight="1">
      <c r="A31" s="4"/>
      <c r="B31" s="28"/>
    </row>
    <row r="32" ht="22.5" customHeight="1">
      <c r="A32" s="4"/>
      <c r="B32" s="28"/>
    </row>
    <row r="33" ht="22.5" customHeight="1">
      <c r="A33" s="4"/>
      <c r="B33" s="28"/>
    </row>
    <row r="34" ht="22.5" customHeight="1">
      <c r="A34" s="4"/>
      <c r="B34" s="28"/>
    </row>
  </sheetData>
  <dataValidations>
    <dataValidation allowBlank="1" showDropDown="1" sqref="A2:A34"/>
  </dataValidations>
  <drawing r:id="rId1"/>
  <tableParts count="1">
    <tablePart r:id="rId3"/>
  </tableParts>
</worksheet>
</file>